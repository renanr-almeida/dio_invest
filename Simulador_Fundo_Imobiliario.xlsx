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nan\OneDrive\Documentos\"/>
    </mc:Choice>
  </mc:AlternateContent>
  <bookViews>
    <workbookView xWindow="0" yWindow="0" windowWidth="23040" windowHeight="9072" tabRatio="21"/>
  </bookViews>
  <sheets>
    <sheet name="Simulador" sheetId="1" r:id="rId1"/>
    <sheet name="Tabela_auxiliar" sheetId="2" r:id="rId2"/>
  </sheets>
  <definedNames>
    <definedName name="aporte">Simulador!$D$17</definedName>
    <definedName name="patrimonio">Simulador!$D$20</definedName>
    <definedName name="qtt_anos">Simulador!$D$18</definedName>
    <definedName name="rendimento_carteira">Simulador!$D$13</definedName>
    <definedName name="sugestao_investimento">Simulador!$D$14</definedName>
    <definedName name="taxa_mensal">Simulador!$D$19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20" i="1"/>
  <c r="D21" i="1" s="1"/>
  <c r="C36" i="1"/>
  <c r="C37" i="1"/>
  <c r="C38" i="1"/>
  <c r="C39" i="1"/>
  <c r="C40" i="1"/>
  <c r="C41" i="1"/>
  <c r="B10" i="2"/>
  <c r="B11" i="2"/>
  <c r="B12" i="2"/>
  <c r="B13" i="2"/>
  <c r="B14" i="2"/>
  <c r="B15" i="2"/>
  <c r="B16" i="2"/>
  <c r="B17" i="2"/>
  <c r="B18" i="2"/>
  <c r="B19" i="2"/>
  <c r="B20" i="2"/>
  <c r="B21" i="2"/>
  <c r="B5" i="2"/>
  <c r="B6" i="2"/>
  <c r="B7" i="2"/>
  <c r="B8" i="2"/>
  <c r="B9" i="2"/>
  <c r="B4" i="2"/>
  <c r="C33" i="1" l="1"/>
  <c r="D37" i="1" s="1"/>
  <c r="D36" i="1" l="1"/>
  <c r="D41" i="1"/>
  <c r="D40" i="1"/>
  <c r="D39" i="1"/>
  <c r="D38" i="1"/>
  <c r="C24" i="1"/>
  <c r="D24" i="1" s="1"/>
  <c r="D42" i="1" l="1"/>
  <c r="C25" i="1"/>
  <c r="D25" i="1" s="1"/>
  <c r="C26" i="1"/>
  <c r="D26" i="1" s="1"/>
  <c r="C27" i="1"/>
  <c r="D27" i="1" s="1"/>
  <c r="C28" i="1"/>
  <c r="D28" i="1" s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<sst xmlns="http://schemas.openxmlformats.org/spreadsheetml/2006/main" count="69" uniqueCount="33">
  <si>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</si>
  <si>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</si>
  <si>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</si>
  <si>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</si>
  <si>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</si>
  <si>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</si>
  <si>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</si>
  <si>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</si>
  <si>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</si>
  <si>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</si>
  <si>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</si>
  <si>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</si>
  <si>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</si>
  <si>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</si>
  <si>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</si>
  <si>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de Carteira</t>
  </si>
  <si>
    <t>Conservador</t>
  </si>
  <si>
    <t>PERFIL</t>
  </si>
  <si>
    <t>VALOR A SER INVESTIDO POR MÊS</t>
  </si>
  <si>
    <t>TIPO DE FII</t>
  </si>
  <si>
    <t>Valores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</si>
  <si>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</si>
  <si>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</si>
  <si>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</si>
  <si>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</si>
  <si>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</si>
  <si>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</si>
  <si>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</si>
  <si>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%</t>
  </si>
  <si>
    <t>CHAVE-COMPOSTA</t>
  </si>
  <si>
    <t>Moderado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</si>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</sst>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883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1499679555650502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1499679555650502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6" fillId="3" borderId="0" xfId="0" applyFont="1" applyFill="1" applyBorder="1" applyAlignment="1">
      <alignment vertical="center"/>
    </xf>
    <xf numFmtId="0" fontId="7" fillId="7" borderId="12" xfId="0" applyFont="1" applyFill="1" applyBorder="1" applyAlignment="1">
      <alignment horizontal="left" indent="3"/>
    </xf>
    <xf numFmtId="0" fontId="7" fillId="7" borderId="14" xfId="0" applyFont="1" applyFill="1" applyBorder="1" applyAlignment="1">
      <alignment horizontal="left" indent="3"/>
    </xf>
    <xf numFmtId="0" fontId="7" fillId="7" borderId="16" xfId="0" applyFont="1" applyFill="1" applyBorder="1" applyAlignment="1">
      <alignment horizontal="left" indent="3"/>
    </xf>
    <xf numFmtId="8" fontId="7" fillId="7" borderId="21" xfId="0" applyNumberFormat="1" applyFont="1" applyFill="1" applyBorder="1" applyAlignment="1">
      <alignment horizontal="center"/>
    </xf>
    <xf numFmtId="8" fontId="7" fillId="7" borderId="22" xfId="0" applyNumberFormat="1" applyFont="1" applyFill="1" applyBorder="1" applyAlignment="1">
      <alignment horizontal="center"/>
    </xf>
    <xf numFmtId="8" fontId="7" fillId="7" borderId="23" xfId="0" applyNumberFormat="1" applyFont="1" applyFill="1" applyBorder="1" applyAlignment="1">
      <alignment horizontal="center"/>
    </xf>
    <xf numFmtId="8" fontId="7" fillId="7" borderId="24" xfId="0" applyNumberFormat="1" applyFont="1" applyFill="1" applyBorder="1" applyAlignment="1">
      <alignment horizontal="center"/>
    </xf>
    <xf numFmtId="8" fontId="7" fillId="7" borderId="25" xfId="0" applyNumberFormat="1" applyFont="1" applyFill="1" applyBorder="1" applyAlignment="1">
      <alignment horizontal="center"/>
    </xf>
    <xf numFmtId="8" fontId="7" fillId="7" borderId="26" xfId="0" applyNumberFormat="1" applyFont="1" applyFill="1" applyBorder="1" applyAlignment="1">
      <alignment horizontal="center"/>
    </xf>
    <xf numFmtId="8" fontId="5" fillId="6" borderId="4" xfId="0" applyNumberFormat="1" applyFont="1" applyFill="1" applyBorder="1" applyAlignment="1">
      <alignment horizontal="center"/>
    </xf>
    <xf numFmtId="8" fontId="5" fillId="6" borderId="5" xfId="0" applyNumberFormat="1" applyFont="1" applyFill="1" applyBorder="1" applyAlignment="1">
      <alignment horizontal="center"/>
    </xf>
    <xf numFmtId="0" fontId="12" fillId="5" borderId="0" xfId="3" applyFont="1"/>
    <xf numFmtId="0" fontId="10" fillId="7" borderId="0" xfId="0" applyFont="1" applyFill="1"/>
    <xf numFmtId="164" fontId="10" fillId="7" borderId="0" xfId="0" applyNumberFormat="1" applyFont="1" applyFill="1" applyAlignment="1">
      <alignment horizontal="center" vertical="center"/>
    </xf>
    <xf numFmtId="0" fontId="9" fillId="7" borderId="0" xfId="0" applyFont="1" applyFill="1"/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10" fillId="8" borderId="0" xfId="0" applyFont="1" applyFill="1" applyAlignment="1">
      <alignment horizontal="center"/>
    </xf>
    <xf numFmtId="0" fontId="9" fillId="8" borderId="0" xfId="0" applyFont="1" applyFill="1"/>
    <xf numFmtId="164" fontId="10" fillId="8" borderId="0" xfId="0" applyNumberFormat="1" applyFont="1" applyFill="1" applyAlignment="1">
      <alignment horizontal="center"/>
    </xf>
    <xf numFmtId="164" fontId="7" fillId="7" borderId="0" xfId="0" applyNumberFormat="1" applyFont="1" applyFill="1" applyAlignment="1">
      <alignment horizontal="center"/>
    </xf>
    <xf numFmtId="0" fontId="7" fillId="7" borderId="12" xfId="0" applyFont="1" applyFill="1" applyBorder="1" applyAlignment="1">
      <alignment horizontal="left" indent="3"/>
    </xf>
    <xf numFmtId="0" fontId="7" fillId="7" borderId="13" xfId="0" applyFont="1" applyFill="1" applyBorder="1" applyAlignment="1">
      <alignment horizontal="left" indent="3"/>
    </xf>
    <xf numFmtId="0" fontId="7" fillId="7" borderId="14" xfId="0" applyFont="1" applyFill="1" applyBorder="1" applyAlignment="1">
      <alignment horizontal="left" indent="3"/>
    </xf>
    <xf numFmtId="0" fontId="7" fillId="7" borderId="15" xfId="0" applyFont="1" applyFill="1" applyBorder="1" applyAlignment="1">
      <alignment horizontal="left" indent="3"/>
    </xf>
    <xf numFmtId="0" fontId="7" fillId="7" borderId="16" xfId="0" applyFont="1" applyFill="1" applyBorder="1" applyAlignment="1">
      <alignment horizontal="left" indent="3"/>
    </xf>
    <xf numFmtId="0" fontId="7" fillId="7" borderId="17" xfId="0" applyFont="1" applyFill="1" applyBorder="1" applyAlignment="1">
      <alignment horizontal="left" indent="3"/>
    </xf>
    <xf numFmtId="0" fontId="1" fillId="4" borderId="1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left" indent="3"/>
    </xf>
    <xf numFmtId="0" fontId="7" fillId="7" borderId="19" xfId="0" applyFont="1" applyFill="1" applyBorder="1" applyAlignment="1">
      <alignment horizontal="left" indent="3"/>
    </xf>
    <xf numFmtId="0" fontId="10" fillId="6" borderId="14" xfId="0" applyFont="1" applyFill="1" applyBorder="1" applyAlignment="1">
      <alignment horizontal="left" indent="3"/>
    </xf>
    <xf numFmtId="0" fontId="10" fillId="6" borderId="19" xfId="0" applyFont="1" applyFill="1" applyBorder="1" applyAlignment="1">
      <alignment horizontal="left" indent="3"/>
    </xf>
    <xf numFmtId="0" fontId="10" fillId="6" borderId="16" xfId="0" applyFont="1" applyFill="1" applyBorder="1" applyAlignment="1">
      <alignment horizontal="left" indent="3"/>
    </xf>
    <xf numFmtId="0" fontId="10" fillId="6" borderId="20" xfId="0" applyFont="1" applyFill="1" applyBorder="1" applyAlignment="1">
      <alignment horizontal="left" indent="3"/>
    </xf>
    <xf numFmtId="0" fontId="0" fillId="0" borderId="27" xfId="0" applyBorder="1"/>
    <xf numFmtId="0" fontId="7" fillId="0" borderId="27" xfId="0" applyFont="1" applyBorder="1" applyAlignment="1">
      <alignment horizontal="center"/>
    </xf>
    <xf numFmtId="9" fontId="7" fillId="0" borderId="27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/>
    </xf>
    <xf numFmtId="164" fontId="5" fillId="0" borderId="3" xfId="1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10" fontId="5" fillId="0" borderId="4" xfId="2" applyNumberFormat="1" applyFont="1" applyBorder="1" applyAlignment="1" applyProtection="1">
      <alignment horizontal="center"/>
      <protection locked="0"/>
    </xf>
    <xf numFmtId="164" fontId="2" fillId="0" borderId="9" xfId="1" applyNumberFormat="1" applyFont="1" applyBorder="1" applyAlignment="1" applyProtection="1">
      <alignment horizontal="center"/>
      <protection locked="0"/>
    </xf>
    <xf numFmtId="10" fontId="2" fillId="0" borderId="7" xfId="2" applyNumberFormat="1" applyFont="1" applyBorder="1" applyAlignment="1" applyProtection="1">
      <alignment horizontal="center"/>
      <protection locked="0"/>
    </xf>
    <xf numFmtId="0" fontId="12" fillId="5" borderId="0" xfId="3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188313"/>
      <color rgb="FF1EA1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E-4155-8887-50F9F718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0</xdr:row>
      <xdr:rowOff>160020</xdr:rowOff>
    </xdr:from>
    <xdr:to>
      <xdr:col>4</xdr:col>
      <xdr:colOff>144780</xdr:colOff>
      <xdr:row>8</xdr:row>
      <xdr:rowOff>129540</xdr:rowOff>
    </xdr:to>
    <xdr:sp macro="" textlink="">
      <xdr:nvSpPr>
        <xdr:cNvPr id="2" name="Retângulo Arredondado 1"/>
        <xdr:cNvSpPr/>
      </xdr:nvSpPr>
      <xdr:spPr>
        <a:xfrm>
          <a:off x="487680" y="160020"/>
          <a:ext cx="6126480" cy="1432560"/>
        </a:xfrm>
        <a:prstGeom prst="roundRect">
          <a:avLst/>
        </a:prstGeom>
        <a:gradFill>
          <a:gsLst>
            <a:gs pos="5000">
              <a:schemeClr val="accent4">
                <a:satMod val="103000"/>
                <a:lumMod val="102000"/>
                <a:tint val="94000"/>
              </a:schemeClr>
            </a:gs>
            <a:gs pos="48000">
              <a:schemeClr val="accent4">
                <a:lumMod val="20000"/>
                <a:lumOff val="80000"/>
              </a:schemeClr>
            </a:gs>
            <a:gs pos="100000">
              <a:schemeClr val="accent4">
                <a:lumMod val="99000"/>
                <a:satMod val="120000"/>
                <a:shade val="78000"/>
              </a:schemeClr>
            </a:gs>
          </a:gsLst>
        </a:gradFill>
        <a:ln cap="flat">
          <a:solidFill>
            <a:schemeClr val="accent4"/>
          </a:solidFill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ysClr val="windowText" lastClr="000000"/>
              </a:solidFill>
            </a:rPr>
            <a:t>Simulador</a:t>
          </a:r>
          <a:r>
            <a:rPr lang="pt-BR" sz="3600" b="1" baseline="0">
              <a:solidFill>
                <a:sysClr val="windowText" lastClr="000000"/>
              </a:solidFill>
            </a:rPr>
            <a:t> de Investimentos de </a:t>
          </a:r>
          <a:r>
            <a:rPr lang="pt-BR" sz="3600" b="1">
              <a:solidFill>
                <a:sysClr val="windowText" lastClr="000000"/>
              </a:solidFill>
            </a:rPr>
            <a:t>Fundos Imobiliários</a:t>
          </a:r>
        </a:p>
      </xdr:txBody>
    </xdr:sp>
    <xdr:clientData/>
  </xdr:twoCellAnchor>
  <xdr:twoCellAnchor>
    <xdr:from>
      <xdr:col>1</xdr:col>
      <xdr:colOff>781050</xdr:colOff>
      <xdr:row>42</xdr:row>
      <xdr:rowOff>110490</xdr:rowOff>
    </xdr:from>
    <xdr:to>
      <xdr:col>3</xdr:col>
      <xdr:colOff>914400</xdr:colOff>
      <xdr:row>61</xdr:row>
      <xdr:rowOff>106680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XFC42"/>
  <sheetViews>
    <sheetView showGridLines="0" showRowColHeaders="0" tabSelected="1" workbookViewId="0">
      <selection activeCell="E48" sqref="E48"/>
    </sheetView>
  </sheetViews>
  <sheetFormatPr defaultColWidth="0" defaultRowHeight="14.4" x14ac:dyDescent="0.3"/>
  <cols>
    <col min="1" max="1" width="8.88671875" customWidth="1"/>
    <col min="2" max="2" width="34.33203125" customWidth="1"/>
    <col min="3" max="3" width="32.33203125" bestFit="1" customWidth="1"/>
    <col min="4" max="4" width="18.77734375" customWidth="1"/>
    <col min="5" max="5" width="8.88671875" customWidth="1"/>
    <col min="6" max="6" width="20.5546875" hidden="1" customWidth="1"/>
    <col min="7" max="7" width="15.21875" hidden="1" customWidth="1"/>
    <col min="8" max="14" width="8.88671875" hidden="1" customWidth="1"/>
    <col min="15" max="16383" width="8.88671875" hidden="1"/>
    <col min="16384" max="16384" width="2.44140625" customWidth="1"/>
  </cols>
  <sheetData>
    <row r="11" spans="2:4" ht="29.4" customHeight="1" x14ac:dyDescent="0.3">
      <c r="B11" s="30" t="s">
        <v>13</v>
      </c>
      <c r="C11" s="31"/>
      <c r="D11" s="32"/>
    </row>
    <row r="12" spans="2:4" ht="18" x14ac:dyDescent="0.35">
      <c r="B12" s="24" t="s">
        <v>14</v>
      </c>
      <c r="C12" s="25"/>
      <c r="D12" s="53">
        <v>10000</v>
      </c>
    </row>
    <row r="13" spans="2:4" ht="18" x14ac:dyDescent="0.35">
      <c r="B13" s="26" t="s">
        <v>15</v>
      </c>
      <c r="C13" s="27"/>
      <c r="D13" s="54">
        <v>6.0000000000000001E-3</v>
      </c>
    </row>
    <row r="14" spans="2:4" ht="18.600000000000001" thickBot="1" x14ac:dyDescent="0.4">
      <c r="B14" s="28" t="s">
        <v>32</v>
      </c>
      <c r="C14" s="29"/>
      <c r="D14" s="56">
        <f>D12*30%</f>
        <v>3000</v>
      </c>
    </row>
    <row r="16" spans="2:4" ht="31.8" customHeight="1" thickBot="1" x14ac:dyDescent="0.35">
      <c r="B16" s="33" t="s">
        <v>5</v>
      </c>
      <c r="C16" s="34"/>
      <c r="D16" s="35"/>
    </row>
    <row r="17" spans="1:5" ht="18.600000000000001" thickBot="1" x14ac:dyDescent="0.4">
      <c r="B17" s="24" t="s">
        <v>0</v>
      </c>
      <c r="C17" s="38"/>
      <c r="D17" s="50">
        <v>1500</v>
      </c>
    </row>
    <row r="18" spans="1:5" ht="18.600000000000001" thickBot="1" x14ac:dyDescent="0.4">
      <c r="B18" s="26" t="s">
        <v>1</v>
      </c>
      <c r="C18" s="39"/>
      <c r="D18" s="51">
        <v>5</v>
      </c>
    </row>
    <row r="19" spans="1:5" ht="18.600000000000001" thickBot="1" x14ac:dyDescent="0.4">
      <c r="B19" s="26" t="s">
        <v>2</v>
      </c>
      <c r="C19" s="39"/>
      <c r="D19" s="52">
        <v>1.0789999999999999E-2</v>
      </c>
    </row>
    <row r="20" spans="1:5" ht="18.600000000000001" thickBot="1" x14ac:dyDescent="0.4">
      <c r="B20" s="40" t="s">
        <v>3</v>
      </c>
      <c r="C20" s="41"/>
      <c r="D20" s="12">
        <f>FV(taxa_mensal,qtt_anos*12,aporte*-1)</f>
        <v>125665.37099773147</v>
      </c>
    </row>
    <row r="21" spans="1:5" ht="18.600000000000001" thickBot="1" x14ac:dyDescent="0.4">
      <c r="B21" s="42" t="s">
        <v>4</v>
      </c>
      <c r="C21" s="43"/>
      <c r="D21" s="13">
        <f>patrimonio*rendimento_carteira</f>
        <v>753.9922259863888</v>
      </c>
    </row>
    <row r="22" spans="1:5" ht="15" thickBot="1" x14ac:dyDescent="0.35"/>
    <row r="23" spans="1:5" ht="25.8" x14ac:dyDescent="0.3">
      <c r="B23" s="36" t="s">
        <v>11</v>
      </c>
      <c r="C23" s="37"/>
      <c r="D23" s="48" t="s">
        <v>12</v>
      </c>
      <c r="E23" s="2"/>
    </row>
    <row r="24" spans="1:5" ht="15.6" x14ac:dyDescent="0.3">
      <c r="A24" s="1">
        <v>2</v>
      </c>
      <c r="B24" s="3" t="s">
        <v>6</v>
      </c>
      <c r="C24" s="6">
        <f>FV($D$19,$A24*12,$D$17*-1)</f>
        <v>40841.440946467825</v>
      </c>
      <c r="D24" s="7">
        <f>C24*rendimento_carteira</f>
        <v>245.04864567880696</v>
      </c>
    </row>
    <row r="25" spans="1:5" ht="15.6" x14ac:dyDescent="0.3">
      <c r="A25" s="1">
        <v>5</v>
      </c>
      <c r="B25" s="4" t="s">
        <v>7</v>
      </c>
      <c r="C25" s="8">
        <f>FV($D$19,$A25*12,$D$17*-1)</f>
        <v>125665.37099773147</v>
      </c>
      <c r="D25" s="9">
        <f>C25*rendimento_carteira</f>
        <v>753.9922259863888</v>
      </c>
    </row>
    <row r="26" spans="1:5" ht="15.6" x14ac:dyDescent="0.3">
      <c r="A26" s="1">
        <v>10</v>
      </c>
      <c r="B26" s="4" t="s">
        <v>8</v>
      </c>
      <c r="C26" s="8">
        <f>FV($D$19,$A26*12,$D$17*-1)</f>
        <v>364926.3187952583</v>
      </c>
      <c r="D26" s="9">
        <f>C26*rendimento_carteira</f>
        <v>2189.55791277155</v>
      </c>
    </row>
    <row r="27" spans="1:5" ht="15.6" x14ac:dyDescent="0.3">
      <c r="A27" s="1">
        <v>20</v>
      </c>
      <c r="B27" s="4" t="s">
        <v>9</v>
      </c>
      <c r="C27" s="8">
        <f>FV($D$19,$A27*12,$D$17*-1)</f>
        <v>1687797.600145621</v>
      </c>
      <c r="D27" s="9">
        <f>C27*rendimento_carteira</f>
        <v>10126.785600873725</v>
      </c>
    </row>
    <row r="28" spans="1:5" ht="16.2" thickBot="1" x14ac:dyDescent="0.35">
      <c r="A28" s="1">
        <v>30</v>
      </c>
      <c r="B28" s="5" t="s">
        <v>10</v>
      </c>
      <c r="C28" s="10">
        <f>FV($D$19,$A28*12,$D$17*-1)</f>
        <v>6483254.4825070715</v>
      </c>
      <c r="D28" s="11">
        <f>C28*rendimento_carteira</f>
        <v>38899.526895042429</v>
      </c>
    </row>
    <row r="32" spans="1:5" ht="15.6" x14ac:dyDescent="0.3">
      <c r="B32" s="14" t="s">
        <v>17</v>
      </c>
      <c r="C32" s="55" t="s">
        <v>30</v>
      </c>
      <c r="D32" s="14"/>
    </row>
    <row r="33" spans="2:4" ht="15.6" x14ac:dyDescent="0.3">
      <c r="B33" s="15" t="s">
        <v>18</v>
      </c>
      <c r="C33" s="16">
        <f>aporte</f>
        <v>1500</v>
      </c>
      <c r="D33" s="17"/>
    </row>
    <row r="35" spans="2:4" ht="15.6" x14ac:dyDescent="0.3">
      <c r="B35" s="20" t="s">
        <v>19</v>
      </c>
      <c r="C35" s="20" t="s">
        <v>27</v>
      </c>
      <c r="D35" s="20" t="s">
        <v>20</v>
      </c>
    </row>
    <row r="36" spans="2:4" ht="15.6" x14ac:dyDescent="0.3">
      <c r="B36" s="18" t="s">
        <v>21</v>
      </c>
      <c r="C36" s="19">
        <f>VLOOKUP($C$32&amp;"-"&amp;B36,Tabela_auxiliar!$B:$E,4,FALSE)</f>
        <v>0.32</v>
      </c>
      <c r="D36" s="23">
        <f>C36*$C$33</f>
        <v>480</v>
      </c>
    </row>
    <row r="37" spans="2:4" ht="15.6" x14ac:dyDescent="0.3">
      <c r="B37" s="18" t="s">
        <v>22</v>
      </c>
      <c r="C37" s="19">
        <f>VLOOKUP($C$32&amp;"-"&amp;B37,Tabela_auxiliar!$B:$E,4,FALSE)</f>
        <v>0.35</v>
      </c>
      <c r="D37" s="23">
        <f t="shared" ref="D37:D41" si="0">C37*$C$33</f>
        <v>525</v>
      </c>
    </row>
    <row r="38" spans="2:4" ht="15.6" x14ac:dyDescent="0.3">
      <c r="B38" s="18" t="s">
        <v>23</v>
      </c>
      <c r="C38" s="19">
        <f>VLOOKUP($C$32&amp;"-"&amp;B38,Tabela_auxiliar!$B:$E,4,FALSE)</f>
        <v>0.08</v>
      </c>
      <c r="D38" s="23">
        <f t="shared" si="0"/>
        <v>120</v>
      </c>
    </row>
    <row r="39" spans="2:4" ht="15.6" x14ac:dyDescent="0.3">
      <c r="B39" s="18" t="s">
        <v>24</v>
      </c>
      <c r="C39" s="19">
        <f>VLOOKUP($C$32&amp;"-"&amp;B39,Tabela_auxiliar!$B:$E,4,FALSE)</f>
        <v>0.05</v>
      </c>
      <c r="D39" s="23">
        <f t="shared" si="0"/>
        <v>75</v>
      </c>
    </row>
    <row r="40" spans="2:4" ht="15.6" x14ac:dyDescent="0.3">
      <c r="B40" s="18" t="s">
        <v>25</v>
      </c>
      <c r="C40" s="19">
        <f>VLOOKUP($C$32&amp;"-"&amp;B40,Tabela_auxiliar!$B:$E,4,FALSE)</f>
        <v>0.1</v>
      </c>
      <c r="D40" s="23">
        <f t="shared" si="0"/>
        <v>150</v>
      </c>
    </row>
    <row r="41" spans="2:4" ht="15.6" x14ac:dyDescent="0.3">
      <c r="B41" s="18" t="s">
        <v>26</v>
      </c>
      <c r="C41" s="19">
        <f>VLOOKUP($C$32&amp;"-"&amp;B41,Tabela_auxiliar!$B:$E,4,FALSE)</f>
        <v>0.1</v>
      </c>
      <c r="D41" s="23">
        <f t="shared" si="0"/>
        <v>150</v>
      </c>
    </row>
    <row r="42" spans="2:4" ht="15.6" x14ac:dyDescent="0.3">
      <c r="B42" s="21"/>
      <c r="C42" s="21"/>
      <c r="D42" s="22">
        <f>SUM(D36:D41)</f>
        <v>1500</v>
      </c>
    </row>
  </sheetData>
  <sheetProtection password="ED05" sheet="1" objects="1" scenarios="1"/>
  <mergeCells count="11">
    <mergeCell ref="B23:C23"/>
    <mergeCell ref="B17:C17"/>
    <mergeCell ref="B18:C18"/>
    <mergeCell ref="B19:C19"/>
    <mergeCell ref="B20:C20"/>
    <mergeCell ref="B21:C21"/>
    <mergeCell ref="B12:C12"/>
    <mergeCell ref="B13:C13"/>
    <mergeCell ref="B14:C14"/>
    <mergeCell ref="B11:D11"/>
    <mergeCell ref="B16:D16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1"/>
  <sheetViews>
    <sheetView workbookViewId="0">
      <selection activeCell="G12" sqref="G12"/>
    </sheetView>
  </sheetViews>
  <sheetFormatPr defaultRowHeight="14.4" x14ac:dyDescent="0.3"/>
  <cols>
    <col min="1" max="1" width="7.33203125" customWidth="1"/>
    <col min="2" max="2" width="29.21875" bestFit="1" customWidth="1"/>
    <col min="3" max="3" width="11.33203125" bestFit="1" customWidth="1"/>
    <col min="4" max="4" width="19.5546875" bestFit="1" customWidth="1"/>
    <col min="8" max="8" width="16.109375" bestFit="1" customWidth="1"/>
  </cols>
  <sheetData>
    <row r="3" spans="2:5" x14ac:dyDescent="0.3">
      <c r="B3" s="49" t="s">
        <v>29</v>
      </c>
      <c r="C3" s="49" t="s">
        <v>17</v>
      </c>
      <c r="D3" s="49" t="s">
        <v>19</v>
      </c>
      <c r="E3" s="49" t="s">
        <v>28</v>
      </c>
    </row>
    <row r="4" spans="2:5" ht="15.6" x14ac:dyDescent="0.3">
      <c r="B4" t="str">
        <f>C4&amp;"-"&amp;D4</f>
        <v>Conservador-PAPEL</v>
      </c>
      <c r="C4" t="s">
        <v>16</v>
      </c>
      <c r="D4" s="18" t="s">
        <v>21</v>
      </c>
      <c r="E4" s="19">
        <v>0.3</v>
      </c>
    </row>
    <row r="5" spans="2:5" ht="15.6" x14ac:dyDescent="0.3">
      <c r="B5" t="str">
        <f t="shared" ref="B5:B21" si="0">C5&amp;"-"&amp;D5</f>
        <v>Conservador-TIJOLO</v>
      </c>
      <c r="C5" t="s">
        <v>16</v>
      </c>
      <c r="D5" s="18" t="s">
        <v>22</v>
      </c>
      <c r="E5" s="19">
        <v>0.5</v>
      </c>
    </row>
    <row r="6" spans="2:5" ht="15.6" x14ac:dyDescent="0.3">
      <c r="B6" t="str">
        <f t="shared" si="0"/>
        <v>Conservador-HÍBRIDOS</v>
      </c>
      <c r="C6" t="s">
        <v>16</v>
      </c>
      <c r="D6" s="18" t="s">
        <v>23</v>
      </c>
      <c r="E6" s="19">
        <v>0.1</v>
      </c>
    </row>
    <row r="7" spans="2:5" ht="15.6" x14ac:dyDescent="0.3">
      <c r="B7" t="str">
        <f t="shared" si="0"/>
        <v>Conservador-FOFs</v>
      </c>
      <c r="C7" t="s">
        <v>16</v>
      </c>
      <c r="D7" s="18" t="s">
        <v>24</v>
      </c>
      <c r="E7" s="19">
        <v>0.1</v>
      </c>
    </row>
    <row r="8" spans="2:5" ht="15.6" x14ac:dyDescent="0.3">
      <c r="B8" t="str">
        <f t="shared" si="0"/>
        <v>Conservador-DESENVOLVIMENTO</v>
      </c>
      <c r="C8" t="s">
        <v>16</v>
      </c>
      <c r="D8" s="18" t="s">
        <v>25</v>
      </c>
      <c r="E8" s="19">
        <v>0</v>
      </c>
    </row>
    <row r="9" spans="2:5" ht="16.2" thickBot="1" x14ac:dyDescent="0.35">
      <c r="B9" s="44" t="str">
        <f t="shared" si="0"/>
        <v>Conservador-HOTELARIAS</v>
      </c>
      <c r="C9" s="44" t="s">
        <v>16</v>
      </c>
      <c r="D9" s="45" t="s">
        <v>26</v>
      </c>
      <c r="E9" s="46">
        <v>0</v>
      </c>
    </row>
    <row r="10" spans="2:5" ht="15.6" x14ac:dyDescent="0.3">
      <c r="B10" t="str">
        <f t="shared" si="0"/>
        <v>Moderado-PAPEL</v>
      </c>
      <c r="C10" t="s">
        <v>30</v>
      </c>
      <c r="D10" s="18" t="s">
        <v>21</v>
      </c>
      <c r="E10" s="47">
        <v>0.32</v>
      </c>
    </row>
    <row r="11" spans="2:5" ht="15.6" x14ac:dyDescent="0.3">
      <c r="B11" t="str">
        <f t="shared" si="0"/>
        <v>Moderado-TIJOLO</v>
      </c>
      <c r="C11" t="s">
        <v>30</v>
      </c>
      <c r="D11" s="18" t="s">
        <v>22</v>
      </c>
      <c r="E11" s="47">
        <v>0.35</v>
      </c>
    </row>
    <row r="12" spans="2:5" ht="15.6" x14ac:dyDescent="0.3">
      <c r="B12" t="str">
        <f t="shared" si="0"/>
        <v>Moderado-HÍBRIDOS</v>
      </c>
      <c r="C12" t="s">
        <v>30</v>
      </c>
      <c r="D12" s="18" t="s">
        <v>23</v>
      </c>
      <c r="E12" s="47">
        <v>0.08</v>
      </c>
    </row>
    <row r="13" spans="2:5" ht="15.6" x14ac:dyDescent="0.3">
      <c r="B13" t="str">
        <f t="shared" si="0"/>
        <v>Moderado-FOFs</v>
      </c>
      <c r="C13" t="s">
        <v>30</v>
      </c>
      <c r="D13" s="18" t="s">
        <v>24</v>
      </c>
      <c r="E13" s="47">
        <v>0.05</v>
      </c>
    </row>
    <row r="14" spans="2:5" ht="15.6" x14ac:dyDescent="0.3">
      <c r="B14" t="str">
        <f t="shared" si="0"/>
        <v>Moderado-DESENVOLVIMENTO</v>
      </c>
      <c r="C14" t="s">
        <v>30</v>
      </c>
      <c r="D14" s="18" t="s">
        <v>25</v>
      </c>
      <c r="E14" s="47">
        <v>0.1</v>
      </c>
    </row>
    <row r="15" spans="2:5" ht="16.2" thickBot="1" x14ac:dyDescent="0.35">
      <c r="B15" s="44" t="str">
        <f t="shared" si="0"/>
        <v>Moderado-HOTELARIAS</v>
      </c>
      <c r="C15" s="44" t="s">
        <v>30</v>
      </c>
      <c r="D15" s="45" t="s">
        <v>26</v>
      </c>
      <c r="E15" s="46">
        <v>0.1</v>
      </c>
    </row>
    <row r="16" spans="2:5" ht="15.6" x14ac:dyDescent="0.3">
      <c r="B16" t="str">
        <f t="shared" si="0"/>
        <v>Agressivo-PAPEL</v>
      </c>
      <c r="C16" t="s">
        <v>31</v>
      </c>
      <c r="D16" s="18" t="s">
        <v>21</v>
      </c>
      <c r="E16" s="47">
        <v>0.5</v>
      </c>
    </row>
    <row r="17" spans="2:5" ht="15.6" x14ac:dyDescent="0.3">
      <c r="B17" t="str">
        <f t="shared" si="0"/>
        <v>Agressivo-TIJOLO</v>
      </c>
      <c r="C17" t="s">
        <v>31</v>
      </c>
      <c r="D17" s="18" t="s">
        <v>22</v>
      </c>
      <c r="E17" s="47">
        <v>0.1</v>
      </c>
    </row>
    <row r="18" spans="2:5" ht="15.6" x14ac:dyDescent="0.3">
      <c r="B18" t="str">
        <f t="shared" si="0"/>
        <v>Agressivo-HÍBRIDOS</v>
      </c>
      <c r="C18" t="s">
        <v>31</v>
      </c>
      <c r="D18" s="18" t="s">
        <v>23</v>
      </c>
      <c r="E18" s="47">
        <v>0.05</v>
      </c>
    </row>
    <row r="19" spans="2:5" ht="15.6" x14ac:dyDescent="0.3">
      <c r="B19" t="str">
        <f t="shared" si="0"/>
        <v>Agressivo-FOFs</v>
      </c>
      <c r="C19" t="s">
        <v>31</v>
      </c>
      <c r="D19" s="18" t="s">
        <v>24</v>
      </c>
      <c r="E19" s="47">
        <v>0.05</v>
      </c>
    </row>
    <row r="20" spans="2:5" ht="15.6" x14ac:dyDescent="0.3">
      <c r="B20" t="str">
        <f t="shared" si="0"/>
        <v>Agressivo-DESENVOLVIMENTO</v>
      </c>
      <c r="C20" t="s">
        <v>31</v>
      </c>
      <c r="D20" s="18" t="s">
        <v>25</v>
      </c>
      <c r="E20" s="47">
        <v>0.2</v>
      </c>
    </row>
    <row r="21" spans="2:5" ht="15.6" x14ac:dyDescent="0.3">
      <c r="B21" t="str">
        <f t="shared" si="0"/>
        <v>Agressivo-HOTELARIAS</v>
      </c>
      <c r="C21" t="s">
        <v>31</v>
      </c>
      <c r="D21" s="18" t="s">
        <v>26</v>
      </c>
      <c r="E21" s="47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</vt:lpstr>
      <vt:lpstr>Tabela_auxiliar</vt:lpstr>
      <vt:lpstr>aporte</vt:lpstr>
      <vt:lpstr>patrimonio</vt:lpstr>
      <vt:lpstr>qtt_anos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Rodrigues de Almeida</dc:creator>
  <cp:lastModifiedBy>Renan Rodrigues de Almeida</cp:lastModifiedBy>
  <dcterms:created xsi:type="dcterms:W3CDTF">2026-01-31T16:42:51Z</dcterms:created>
  <dcterms:modified xsi:type="dcterms:W3CDTF">2026-02-14T17:55:25Z</dcterms:modified>
</cp:coreProperties>
</file>